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darsh/Documents/Coding/HackClub/tars-display/"/>
    </mc:Choice>
  </mc:AlternateContent>
  <xr:revisionPtr revIDLastSave="0" documentId="13_ncr:1_{D626B2E8-7B3F-8F45-94D2-C776C6B96F63}" xr6:coauthVersionLast="47" xr6:coauthVersionMax="47" xr10:uidLastSave="{00000000-0000-0000-0000-000000000000}"/>
  <bookViews>
    <workbookView xWindow="15860" yWindow="620" windowWidth="25100" windowHeight="24980" xr2:uid="{76F3C5F8-0592-3545-9B77-C38043100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D17" i="1"/>
  <c r="D12" i="1"/>
  <c r="D3" i="1"/>
  <c r="D4" i="1"/>
  <c r="D5" i="1"/>
  <c r="D6" i="1"/>
  <c r="D8" i="1"/>
  <c r="D9" i="1"/>
  <c r="D10" i="1"/>
  <c r="D11" i="1"/>
  <c r="D13" i="1"/>
  <c r="D14" i="1"/>
  <c r="D15" i="1"/>
  <c r="D16" i="1"/>
  <c r="D2" i="1"/>
  <c r="D18" i="1" l="1"/>
</calcChain>
</file>

<file path=xl/sharedStrings.xml><?xml version="1.0" encoding="utf-8"?>
<sst xmlns="http://schemas.openxmlformats.org/spreadsheetml/2006/main" count="113" uniqueCount="49">
  <si>
    <t>Component</t>
  </si>
  <si>
    <t>Quantity</t>
  </si>
  <si>
    <t>Price</t>
  </si>
  <si>
    <t>Vendor</t>
  </si>
  <si>
    <t>Link</t>
  </si>
  <si>
    <t>PCB</t>
  </si>
  <si>
    <t>JLCPCB</t>
  </si>
  <si>
    <t>USBC Receptacle</t>
  </si>
  <si>
    <t>MAX98357A Amplifier</t>
  </si>
  <si>
    <t>AP2112K 3.3V regulator</t>
  </si>
  <si>
    <t>9g servo</t>
  </si>
  <si>
    <t>Total price</t>
  </si>
  <si>
    <t>SSD1331 OLED</t>
  </si>
  <si>
    <t>WS2812B LED Strip</t>
  </si>
  <si>
    <t>0805 LEDs (blue)</t>
  </si>
  <si>
    <t>Push buttons</t>
  </si>
  <si>
    <t>D Pad</t>
  </si>
  <si>
    <t>0805 resistors</t>
  </si>
  <si>
    <t>0805 capacitors</t>
  </si>
  <si>
    <t>3D Print</t>
  </si>
  <si>
    <t xml:space="preserve">Note: Price = 0 means that I already have parts and the cost should not be considered for Blueprint. </t>
  </si>
  <si>
    <t>Digikey</t>
  </si>
  <si>
    <t>Amazon</t>
  </si>
  <si>
    <t>Speaker</t>
  </si>
  <si>
    <t>Notes</t>
  </si>
  <si>
    <t>Upload Gerbers</t>
  </si>
  <si>
    <t>add shipping</t>
  </si>
  <si>
    <t>https://www.digikey.com/en/products/detail/gct/USB4085-GF-A/9859662?s=N4IgTCBcDaIOIGEAqACAqgZQEIBYAMAHAKwgC6AvkA</t>
  </si>
  <si>
    <t>https://www.digikey.com/en/products/detail/espressif-systems/esp32-s3-wroom-1-n4/16162639</t>
  </si>
  <si>
    <t>ESP32S3 WROOM 1 N4</t>
  </si>
  <si>
    <t>https://www.digikey.com/en/products/detail/analog-devices-inc-maxim-integrated/max98357aete-t/4936122</t>
  </si>
  <si>
    <t>https://www.digikey.com/en/products/detail/diodes-incorporated/ap2112k-3-3trg1/4470746</t>
  </si>
  <si>
    <t>https://www.digikey.com/en/products/detail/cui-devices/TS04-66-50-BK-160-SMT/15634240</t>
  </si>
  <si>
    <t>https://www.amazon.com/Micro-Servos-Helicopter-Airplane-Controls/dp/B07MLR1498/</t>
  </si>
  <si>
    <t>https://www.amazon.com/LOAMLIN-Individually-Addressable-144Pixels-Waterproof/dp/B0BDRCQWWQ/?th=1</t>
  </si>
  <si>
    <t>https://www.digikey.com/en/products/detail/pui-audio-inc/AS04004PO-2-R/1745528</t>
  </si>
  <si>
    <t>Myself</t>
  </si>
  <si>
    <t>https://cart.jlcpcb.com/quote</t>
  </si>
  <si>
    <t>https://www.digikey.com/en/products/detail/sparkfun-electronics/COM-26850/26266463</t>
  </si>
  <si>
    <t>In cart?</t>
  </si>
  <si>
    <t>Ordered?</t>
  </si>
  <si>
    <t>Received?</t>
  </si>
  <si>
    <t>Yes</t>
  </si>
  <si>
    <t>Vender cost with shipping</t>
  </si>
  <si>
    <t>TOTAL</t>
  </si>
  <si>
    <t>Heat inserts</t>
  </si>
  <si>
    <t>https://www.amazon.com/HANGLIFE-Heat-Set-Threaded-Printing-Components/dp/B0CS6VZYL8/</t>
  </si>
  <si>
    <t>https://www.amazon.com/Waveshare-Resolution-Horizontal-Pinheader-Raspberry/dp/B0BFQF8GT3/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</si>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</sst>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4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espressif-systems/esp32-s3-wroom-1-n4/16162639" TargetMode="External"/><Relationship Id="rId1" Type="http://schemas.openxmlformats.org/officeDocument/2006/relationships/hyperlink" Target="https://cart.jlcpcb.com/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E23B-78DB-1D42-9C52-C131A4CAD155}">
  <dimension ref="A1:K20"/>
  <sheetViews>
    <sheetView tabSelected="1" zoomScale="157" workbookViewId="0">
      <selection activeCell="J12" sqref="J12:J16"/>
    </sheetView>
  </sheetViews>
  <sheetFormatPr baseColWidth="10" defaultRowHeight="16" x14ac:dyDescent="0.2"/>
  <cols>
    <col min="3" max="4" width="10.83203125" style="1"/>
    <col min="9" max="9" width="10.83203125" style="1"/>
  </cols>
  <sheetData>
    <row r="1" spans="1:11" x14ac:dyDescent="0.2">
      <c r="A1" t="s">
        <v>0</v>
      </c>
      <c r="B1" t="s">
        <v>1</v>
      </c>
      <c r="C1" s="1" t="s">
        <v>2</v>
      </c>
      <c r="D1" s="1" t="s">
        <v>11</v>
      </c>
      <c r="E1" t="s">
        <v>3</v>
      </c>
      <c r="F1" t="s">
        <v>4</v>
      </c>
      <c r="G1" t="s">
        <v>24</v>
      </c>
      <c r="H1" t="s">
        <v>39</v>
      </c>
      <c r="I1" s="1" t="s">
        <v>43</v>
      </c>
      <c r="J1" t="s">
        <v>40</v>
      </c>
      <c r="K1" t="s">
        <v>41</v>
      </c>
    </row>
    <row r="2" spans="1:11" x14ac:dyDescent="0.2">
      <c r="A2" t="s">
        <v>5</v>
      </c>
      <c r="B2">
        <v>1</v>
      </c>
      <c r="D2" s="1">
        <f>B2*C2</f>
        <v>0</v>
      </c>
      <c r="E2" t="s">
        <v>6</v>
      </c>
      <c r="F2" s="2" t="s">
        <v>37</v>
      </c>
      <c r="G2" t="s">
        <v>25</v>
      </c>
      <c r="H2" t="s">
        <v>42</v>
      </c>
      <c r="I2" s="1">
        <v>6.22</v>
      </c>
      <c r="J2" t="s">
        <v>42</v>
      </c>
      <c r="K2" t="s">
        <v>48</v>
      </c>
    </row>
    <row r="3" spans="1:11" x14ac:dyDescent="0.2">
      <c r="A3" t="s">
        <v>29</v>
      </c>
      <c r="B3">
        <v>1</v>
      </c>
      <c r="C3" s="1">
        <v>5.0599999999999996</v>
      </c>
      <c r="D3" s="1">
        <f t="shared" ref="D3:D12" si="0">B3*C3</f>
        <v>5.0599999999999996</v>
      </c>
      <c r="E3" t="s">
        <v>21</v>
      </c>
      <c r="F3" s="2" t="s">
        <v>28</v>
      </c>
      <c r="G3" t="s">
        <v>26</v>
      </c>
      <c r="H3" t="s">
        <v>42</v>
      </c>
      <c r="I3" s="1">
        <v>25.82</v>
      </c>
      <c r="J3" t="s">
        <v>42</v>
      </c>
      <c r="K3" t="s">
        <v>48</v>
      </c>
    </row>
    <row r="4" spans="1:11" x14ac:dyDescent="0.2">
      <c r="A4" t="s">
        <v>7</v>
      </c>
      <c r="B4">
        <v>1</v>
      </c>
      <c r="C4" s="1">
        <v>0.88</v>
      </c>
      <c r="D4" s="1">
        <f t="shared" si="0"/>
        <v>0.88</v>
      </c>
      <c r="E4" t="s">
        <v>21</v>
      </c>
      <c r="F4" t="s">
        <v>27</v>
      </c>
      <c r="G4" t="s">
        <v>26</v>
      </c>
      <c r="H4" t="s">
        <v>42</v>
      </c>
      <c r="I4" s="1">
        <v>25.82</v>
      </c>
      <c r="J4" t="s">
        <v>42</v>
      </c>
      <c r="K4" t="s">
        <v>48</v>
      </c>
    </row>
    <row r="5" spans="1:11" x14ac:dyDescent="0.2">
      <c r="A5" t="s">
        <v>8</v>
      </c>
      <c r="B5">
        <v>1</v>
      </c>
      <c r="C5" s="1">
        <v>3.19</v>
      </c>
      <c r="D5" s="1">
        <f t="shared" si="0"/>
        <v>3.19</v>
      </c>
      <c r="E5" t="s">
        <v>21</v>
      </c>
      <c r="F5" t="s">
        <v>30</v>
      </c>
      <c r="G5" t="s">
        <v>26</v>
      </c>
      <c r="H5" t="s">
        <v>42</v>
      </c>
      <c r="I5" s="1">
        <v>25.82</v>
      </c>
      <c r="J5" t="s">
        <v>42</v>
      </c>
      <c r="K5" t="s">
        <v>48</v>
      </c>
    </row>
    <row r="6" spans="1:11" x14ac:dyDescent="0.2">
      <c r="A6" t="s">
        <v>9</v>
      </c>
      <c r="B6">
        <v>1</v>
      </c>
      <c r="C6" s="1">
        <v>0.22</v>
      </c>
      <c r="D6" s="1">
        <f t="shared" si="0"/>
        <v>0.22</v>
      </c>
      <c r="E6" t="s">
        <v>21</v>
      </c>
      <c r="F6" t="s">
        <v>31</v>
      </c>
      <c r="G6" t="s">
        <v>26</v>
      </c>
      <c r="H6" t="s">
        <v>42</v>
      </c>
      <c r="I6" s="1">
        <v>25.82</v>
      </c>
      <c r="J6" t="s">
        <v>42</v>
      </c>
      <c r="K6" t="s">
        <v>48</v>
      </c>
    </row>
    <row r="7" spans="1:11" x14ac:dyDescent="0.2">
      <c r="A7" t="s">
        <v>10</v>
      </c>
      <c r="B7">
        <v>2</v>
      </c>
      <c r="C7" s="1">
        <v>7.49</v>
      </c>
      <c r="D7" s="1">
        <v>7.49</v>
      </c>
      <c r="E7" t="s">
        <v>22</v>
      </c>
      <c r="F7" t="s">
        <v>33</v>
      </c>
      <c r="G7" t="s">
        <v>26</v>
      </c>
      <c r="H7" t="s">
        <v>42</v>
      </c>
      <c r="I7" s="1">
        <v>59.84</v>
      </c>
      <c r="J7" t="s">
        <v>42</v>
      </c>
      <c r="K7" t="s">
        <v>48</v>
      </c>
    </row>
    <row r="8" spans="1:11" x14ac:dyDescent="0.2">
      <c r="A8" t="s">
        <v>12</v>
      </c>
      <c r="B8">
        <v>1</v>
      </c>
      <c r="C8" s="1">
        <v>19.989999999999998</v>
      </c>
      <c r="D8" s="1">
        <f>B8*C8</f>
        <v>19.989999999999998</v>
      </c>
      <c r="E8" t="s">
        <v>22</v>
      </c>
      <c r="F8" t="s">
        <v>47</v>
      </c>
      <c r="G8" t="s">
        <v>26</v>
      </c>
      <c r="H8" t="s">
        <v>42</v>
      </c>
      <c r="I8" s="1">
        <v>59.84</v>
      </c>
      <c r="J8" t="s">
        <v>42</v>
      </c>
      <c r="K8" t="s">
        <v>48</v>
      </c>
    </row>
    <row r="9" spans="1:11" x14ac:dyDescent="0.2">
      <c r="A9" t="s">
        <v>13</v>
      </c>
      <c r="B9">
        <v>1</v>
      </c>
      <c r="C9" s="1">
        <v>9.99</v>
      </c>
      <c r="D9" s="1">
        <f t="shared" si="0"/>
        <v>9.99</v>
      </c>
      <c r="E9" t="s">
        <v>22</v>
      </c>
      <c r="F9" t="s">
        <v>34</v>
      </c>
      <c r="G9" t="s">
        <v>26</v>
      </c>
      <c r="H9" t="s">
        <v>42</v>
      </c>
      <c r="I9" s="1">
        <v>59.84</v>
      </c>
      <c r="J9" t="s">
        <v>42</v>
      </c>
      <c r="K9" t="s">
        <v>48</v>
      </c>
    </row>
    <row r="10" spans="1:11" x14ac:dyDescent="0.2">
      <c r="A10" t="s">
        <v>15</v>
      </c>
      <c r="B10">
        <v>2</v>
      </c>
      <c r="C10" s="1">
        <v>0.18</v>
      </c>
      <c r="D10" s="1">
        <f t="shared" si="0"/>
        <v>0.36</v>
      </c>
      <c r="E10" t="s">
        <v>21</v>
      </c>
      <c r="F10" t="s">
        <v>32</v>
      </c>
      <c r="G10" t="s">
        <v>26</v>
      </c>
      <c r="H10" t="s">
        <v>42</v>
      </c>
      <c r="I10" s="1">
        <v>25.82</v>
      </c>
      <c r="J10" t="s">
        <v>42</v>
      </c>
      <c r="K10" t="s">
        <v>48</v>
      </c>
    </row>
    <row r="11" spans="1:11" x14ac:dyDescent="0.2">
      <c r="A11" t="s">
        <v>16</v>
      </c>
      <c r="B11">
        <v>1</v>
      </c>
      <c r="C11" s="1">
        <v>0.95</v>
      </c>
      <c r="D11" s="1">
        <f t="shared" si="0"/>
        <v>0.95</v>
      </c>
      <c r="E11" t="s">
        <v>21</v>
      </c>
      <c r="F11" t="s">
        <v>38</v>
      </c>
      <c r="G11" t="s">
        <v>26</v>
      </c>
      <c r="H11" t="s">
        <v>42</v>
      </c>
      <c r="I11" s="1">
        <v>25.82</v>
      </c>
      <c r="J11" t="s">
        <v>42</v>
      </c>
      <c r="K11" t="s">
        <v>48</v>
      </c>
    </row>
    <row r="12" spans="1:11" x14ac:dyDescent="0.2">
      <c r="A12" t="s">
        <v>23</v>
      </c>
      <c r="B12">
        <v>1</v>
      </c>
      <c r="C12" s="1">
        <v>5.37</v>
      </c>
      <c r="D12" s="1">
        <f t="shared" si="0"/>
        <v>5.37</v>
      </c>
      <c r="E12" t="s">
        <v>21</v>
      </c>
      <c r="F12" t="s">
        <v>35</v>
      </c>
      <c r="G12" t="s">
        <v>26</v>
      </c>
      <c r="H12" t="s">
        <v>42</v>
      </c>
      <c r="I12" s="1">
        <v>25.82</v>
      </c>
      <c r="J12" t="s">
        <v>42</v>
      </c>
      <c r="K12" t="s">
        <v>48</v>
      </c>
    </row>
    <row r="13" spans="1:11" x14ac:dyDescent="0.2">
      <c r="A13" t="s">
        <v>18</v>
      </c>
      <c r="B13">
        <v>8</v>
      </c>
      <c r="C13" s="1">
        <v>0</v>
      </c>
      <c r="D13" s="1">
        <f>B13*C13</f>
        <v>0</v>
      </c>
      <c r="E13" t="s">
        <v>36</v>
      </c>
      <c r="I13" s="1">
        <v>0</v>
      </c>
      <c r="J13" t="s">
        <v>42</v>
      </c>
      <c r="K13" t="s">
        <v>48</v>
      </c>
    </row>
    <row r="14" spans="1:11" x14ac:dyDescent="0.2">
      <c r="A14" t="s">
        <v>17</v>
      </c>
      <c r="B14">
        <v>7</v>
      </c>
      <c r="C14" s="1">
        <v>0</v>
      </c>
      <c r="D14" s="1">
        <f>B14*C14</f>
        <v>0</v>
      </c>
      <c r="E14" t="s">
        <v>36</v>
      </c>
      <c r="I14" s="1">
        <v>0</v>
      </c>
      <c r="J14" t="s">
        <v>42</v>
      </c>
      <c r="K14" t="s">
        <v>48</v>
      </c>
    </row>
    <row r="15" spans="1:11" x14ac:dyDescent="0.2">
      <c r="A15" t="s">
        <v>14</v>
      </c>
      <c r="B15">
        <v>12</v>
      </c>
      <c r="C15" s="1">
        <v>0</v>
      </c>
      <c r="D15" s="1">
        <f>B15*C15</f>
        <v>0</v>
      </c>
      <c r="E15" t="s">
        <v>36</v>
      </c>
      <c r="I15" s="1">
        <v>0</v>
      </c>
      <c r="J15" t="s">
        <v>42</v>
      </c>
      <c r="K15" t="s">
        <v>48</v>
      </c>
    </row>
    <row r="16" spans="1:11" x14ac:dyDescent="0.2">
      <c r="A16" t="s">
        <v>19</v>
      </c>
      <c r="B16">
        <v>1</v>
      </c>
      <c r="C16" s="1">
        <v>0</v>
      </c>
      <c r="D16" s="1">
        <f>B16*C16</f>
        <v>0</v>
      </c>
      <c r="E16" t="s">
        <v>36</v>
      </c>
      <c r="I16" s="1">
        <v>0</v>
      </c>
      <c r="J16" t="s">
        <v>42</v>
      </c>
      <c r="K16" t="s">
        <v>48</v>
      </c>
    </row>
    <row r="17" spans="1:11" x14ac:dyDescent="0.2">
      <c r="A17" t="s">
        <v>45</v>
      </c>
      <c r="B17">
        <v>1</v>
      </c>
      <c r="C17" s="1">
        <v>8.99</v>
      </c>
      <c r="D17" s="1">
        <f>B17*C17</f>
        <v>8.99</v>
      </c>
      <c r="E17" t="s">
        <v>22</v>
      </c>
      <c r="F17" t="s">
        <v>46</v>
      </c>
      <c r="G17" t="s">
        <v>26</v>
      </c>
      <c r="H17" t="s">
        <v>42</v>
      </c>
      <c r="I17" s="1">
        <v>59.84</v>
      </c>
      <c r="J17" t="s">
        <v>42</v>
      </c>
      <c r="K17" t="s">
        <v>48</v>
      </c>
    </row>
    <row r="18" spans="1:11" x14ac:dyDescent="0.2">
      <c r="A18" s="3" t="s">
        <v>44</v>
      </c>
      <c r="D18" s="1">
        <f>SUM(D2:D17)</f>
        <v>62.49</v>
      </c>
      <c r="I18" s="1">
        <f>I2+I3+I7</f>
        <v>91.88</v>
      </c>
    </row>
    <row r="20" spans="1:11" x14ac:dyDescent="0.2">
      <c r="A20" t="s">
        <v>20</v>
      </c>
    </row>
  </sheetData>
  <hyperlinks>
    <hyperlink ref="F2" r:id="rId1" xr:uid="{CD24DD32-B446-3040-A79F-8A473ED5FE71}"/>
    <hyperlink ref="F3" r:id="rId2" xr:uid="{933264B2-DDB6-1F47-989F-C1485F3D6ECF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Shah</dc:creator>
  <cp:lastModifiedBy>Aadarsh Shah</cp:lastModifiedBy>
  <dcterms:created xsi:type="dcterms:W3CDTF">2025-12-16T14:22:40Z</dcterms:created>
  <dcterms:modified xsi:type="dcterms:W3CDTF">2026-01-05T21:59:43Z</dcterms:modified>
</cp:coreProperties>
</file>